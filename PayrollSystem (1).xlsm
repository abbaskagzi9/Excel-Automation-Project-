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bookViews>
    <workbookView xWindow="0" yWindow="0" windowWidth="23040" windowHeight="9072" tabRatio="500"/>
  </bookViews>
  <sheets>
    <sheet name="Attendance" sheetId="1" r:id="rId1"/>
    <sheet name="Salary" sheetId="2" r:id="rId2"/>
    <sheet name="Salary Slip" sheetId="3" r:id="rId3"/>
  </sheets>
  <functionGroups builtInGroupCount="18"/>
  <calcPr calcId="162913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7" i="2" l="1"/>
  <c r="G7" i="2"/>
  <c r="F7" i="2"/>
  <c r="I6" i="2"/>
  <c r="F6" i="2"/>
  <c r="I5" i="2"/>
  <c r="F5" i="2"/>
  <c r="AI9" i="1"/>
  <c r="H7" i="2" s="1"/>
  <c r="AH9" i="1"/>
  <c r="AI8" i="1"/>
  <c r="H6" i="2" s="1"/>
  <c r="AH8" i="1"/>
  <c r="G6" i="2" s="1"/>
  <c r="AI7" i="1"/>
  <c r="H5" i="2" s="1"/>
  <c r="AH7" i="1"/>
  <c r="G5" i="2" s="1"/>
  <c r="J7" i="2" l="1"/>
  <c r="J6" i="2"/>
  <c r="J5" i="2"/>
  <c r="AJ9" i="1"/>
  <c r="AJ8" i="1"/>
  <c r="AJ7" i="1"/>
</calcChain>
</file>

<file path=xl/sharedStrings.xml><?xml version="1.0" encoding="utf-8"?>
<sst xmlns="http://schemas.openxmlformats.org/spreadsheetml/2006/main" count="58" uniqueCount="42">
  <si>
    <t>ATTENDANCE SHEET</t>
  </si>
  <si>
    <t>Mark P for Present, A for Absent. Click 'Generate Grid' (VBA) after setting Month/Year.</t>
  </si>
  <si>
    <t>Month (1-12):</t>
  </si>
  <si>
    <t>Year:</t>
  </si>
  <si>
    <t>Employee ID</t>
  </si>
  <si>
    <t>Employee Name</t>
  </si>
  <si>
    <t>Total Working Days</t>
  </si>
  <si>
    <t>Days Present</t>
  </si>
  <si>
    <t>Days Absent</t>
  </si>
  <si>
    <t>EMP001</t>
  </si>
  <si>
    <t>Rahul Sharma</t>
  </si>
  <si>
    <t>EMP002</t>
  </si>
  <si>
    <t>Priya Verma</t>
  </si>
  <si>
    <t>EMP003</t>
  </si>
  <si>
    <t>Aman Gupta</t>
  </si>
  <si>
    <t>SALARY SHEET</t>
  </si>
  <si>
    <t>Basic/HRA/DA entered manually. Gross, PF, Net, and attendance figures are auto-calculated.</t>
  </si>
  <si>
    <t>Basic Salary</t>
  </si>
  <si>
    <t>HRA</t>
  </si>
  <si>
    <t>DA</t>
  </si>
  <si>
    <t>Gross Salary</t>
  </si>
  <si>
    <t>PF (12% of Basic)</t>
  </si>
  <si>
    <t>Net Salary</t>
  </si>
  <si>
    <t>Generate Slip</t>
  </si>
  <si>
    <t>[Assign macro: GenerateSlipForRow]</t>
  </si>
  <si>
    <t>[COMPANY NAME]</t>
  </si>
  <si>
    <t>[Company Address, City, State, PIN]</t>
  </si>
  <si>
    <t>SALARY SLIP</t>
  </si>
  <si>
    <t>Employee ID:</t>
  </si>
  <si>
    <t>Total Working Days:</t>
  </si>
  <si>
    <t>Employee Name:</t>
  </si>
  <si>
    <t>Days Present:</t>
  </si>
  <si>
    <t>Pay Period (Month/Year):</t>
  </si>
  <si>
    <t>Days Absent:</t>
  </si>
  <si>
    <t>Earnings</t>
  </si>
  <si>
    <t>Amount (₹)</t>
  </si>
  <si>
    <t>Deductions</t>
  </si>
  <si>
    <t>Provident Fund (PF)</t>
  </si>
  <si>
    <t>Prorated Gross</t>
  </si>
  <si>
    <t>Total Deductions</t>
  </si>
  <si>
    <t>NET PAY</t>
  </si>
  <si>
    <t>This is a system-generated slip. [VBA fills employee data into this template.]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</si>
</sst>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charset val="1"/>
    </font>
    <font>
      <b/>
      <sz val="16"/>
      <color rgb="FF1F4E78"/>
      <name val="Arial"/>
      <charset val="1"/>
    </font>
    <font>
      <i/>
      <sz val="10"/>
      <color rgb="FF666666"/>
      <name val="Arial"/>
      <charset val="1"/>
    </font>
    <font>
      <b/>
      <sz val="11"/>
      <name val="Arial"/>
      <charset val="1"/>
    </font>
    <font>
      <b/>
      <sz val="11"/>
      <color rgb="FFFFFFFF"/>
      <name val="Arial"/>
      <charset val="1"/>
    </font>
    <font>
      <b/>
      <sz val="18"/>
      <color rgb="FF1F4E78"/>
      <name val="Arial"/>
      <charset val="1"/>
    </font>
    <font>
      <b/>
      <sz val="13"/>
      <name val="Arial"/>
      <charset val="1"/>
    </font>
    <font>
      <b/>
      <sz val="10"/>
      <name val="Arial"/>
      <charset val="1"/>
    </font>
    <font>
      <b/>
      <sz val="12"/>
      <name val="Arial"/>
      <charset val="1"/>
    </font>
  </fonts>
  <fills count="6">
    <fill>
      <patternFill patternType="none"/>
    </fill>
    <fill>
      <patternFill patternType="gray125"/>
    </fill>
    <fill>
      <patternFill patternType="solid">
        <fgColor rgb="FFFFF2CC"/>
        <bgColor rgb="FFFFFFFF"/>
      </patternFill>
    </fill>
    <fill>
      <patternFill patternType="solid">
        <fgColor rgb="FF1F4E78"/>
        <bgColor rgb="FF003366"/>
      </patternFill>
    </fill>
    <fill>
      <patternFill patternType="solid">
        <fgColor rgb="FFD9E1F2"/>
        <bgColor rgb="FFC6E0B4"/>
      </patternFill>
    </fill>
    <fill>
      <patternFill patternType="solid">
        <fgColor rgb="FFC6E0B4"/>
        <bgColor rgb="FFD9E1F2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1" xfId="0" applyFill="1" applyBorder="1"/>
    <xf numFmtId="0" fontId="4" fillId="3" borderId="1" xfId="0" applyFont="1" applyFill="1" applyBorder="1" applyAlignment="1">
      <alignment horizontal="center" vertical="center" wrapText="1"/>
    </xf>
    <xf numFmtId="0" fontId="0" fillId="0" borderId="1" xfId="0" applyFont="1" applyBorder="1"/>
    <xf numFmtId="0" fontId="0" fillId="0" borderId="1" xfId="0" applyBorder="1" applyAlignment="1">
      <alignment horizontal="center"/>
    </xf>
    <xf numFmtId="0" fontId="7" fillId="0" borderId="0" xfId="0" applyFont="1"/>
    <xf numFmtId="0" fontId="8" fillId="5" borderId="0" xfId="0" applyFont="1" applyFill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8" fillId="5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2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0B4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66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9"/>
  <sheetViews>
    <sheetView tabSelected="1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ColWidth="8.6640625" defaultRowHeight="14.4" x14ac:dyDescent="0.3"/>
  <cols>
    <col min="1" max="1" width="75.5546875" bestFit="1" customWidth="1"/>
    <col min="2" max="2" width="18" customWidth="1"/>
    <col min="3" max="33" width="4" customWidth="1"/>
    <col min="34" max="34" width="14" customWidth="1"/>
    <col min="35" max="36" width="12" customWidth="1"/>
  </cols>
  <sheetData>
    <row r="1" spans="1:36" ht="21" x14ac:dyDescent="0.4">
      <c r="A1" s="1" t="s">
        <v>0</v>
      </c>
    </row>
    <row r="2" spans="1:36" x14ac:dyDescent="0.3">
      <c r="A2" s="2" t="s">
        <v>1</v>
      </c>
    </row>
    <row r="4" spans="1:36" x14ac:dyDescent="0.3">
      <c r="A4" s="3" t="s">
        <v>2</v>
      </c>
      <c r="B4" s="4">
        <v>1</v>
      </c>
      <c r="C4" s="3" t="s">
        <v>3</v>
      </c>
      <c r="D4" s="4">
        <v>2026</v>
      </c>
    </row>
    <row r="6" spans="1:36" ht="41.4" x14ac:dyDescent="0.3">
      <c r="A6" s="5" t="s">
        <v>4</v>
      </c>
      <c r="B6" s="5" t="s">
        <v>5</v>
      </c>
      <c r="C6" s="5">
        <v>1</v>
      </c>
      <c r="D6" s="5">
        <v>2</v>
      </c>
      <c r="E6" s="5">
        <v>3</v>
      </c>
      <c r="F6" s="5">
        <v>4</v>
      </c>
      <c r="G6" s="5">
        <v>5</v>
      </c>
      <c r="H6" s="5">
        <v>6</v>
      </c>
      <c r="I6" s="5">
        <v>7</v>
      </c>
      <c r="J6" s="5">
        <v>8</v>
      </c>
      <c r="K6" s="5">
        <v>9</v>
      </c>
      <c r="L6" s="5">
        <v>10</v>
      </c>
      <c r="M6" s="5">
        <v>11</v>
      </c>
      <c r="N6" s="5">
        <v>12</v>
      </c>
      <c r="O6" s="5">
        <v>13</v>
      </c>
      <c r="P6" s="5">
        <v>14</v>
      </c>
      <c r="Q6" s="5">
        <v>15</v>
      </c>
      <c r="R6" s="5">
        <v>16</v>
      </c>
      <c r="S6" s="5">
        <v>17</v>
      </c>
      <c r="T6" s="5">
        <v>18</v>
      </c>
      <c r="U6" s="5">
        <v>19</v>
      </c>
      <c r="V6" s="5">
        <v>20</v>
      </c>
      <c r="W6" s="5">
        <v>21</v>
      </c>
      <c r="X6" s="5">
        <v>22</v>
      </c>
      <c r="Y6" s="5">
        <v>23</v>
      </c>
      <c r="Z6" s="5">
        <v>24</v>
      </c>
      <c r="AA6" s="5">
        <v>25</v>
      </c>
      <c r="AB6" s="5">
        <v>26</v>
      </c>
      <c r="AC6" s="5">
        <v>27</v>
      </c>
      <c r="AD6" s="5">
        <v>28</v>
      </c>
      <c r="AE6" s="5">
        <v>29</v>
      </c>
      <c r="AF6" s="5">
        <v>30</v>
      </c>
      <c r="AG6" s="5">
        <v>31</v>
      </c>
      <c r="AH6" s="5" t="s">
        <v>6</v>
      </c>
      <c r="AI6" s="5" t="s">
        <v>7</v>
      </c>
      <c r="AJ6" s="5" t="s">
        <v>8</v>
      </c>
    </row>
    <row r="7" spans="1:36" x14ac:dyDescent="0.3">
      <c r="A7" s="6" t="s">
        <v>9</v>
      </c>
      <c r="B7" s="6" t="s">
        <v>10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>
        <f>NETWORKDAYS(DATE($D$4,$B$4,1),DATE($D$4,$B$4,1)+DAY(EOMONTH(DATE($D$4,$B$4,1),0))-1)</f>
        <v>22</v>
      </c>
      <c r="AI7" s="7">
        <f>COUNTIF(C7:AG7,"P")</f>
        <v>0</v>
      </c>
      <c r="AJ7" s="7">
        <f>AH7-AI7</f>
        <v>22</v>
      </c>
    </row>
    <row r="8" spans="1:36" x14ac:dyDescent="0.3">
      <c r="A8" s="6" t="s">
        <v>11</v>
      </c>
      <c r="B8" s="6" t="s">
        <v>12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>
        <f>NETWORKDAYS(DATE($D$4,$B$4,1),DATE($D$4,$B$4,1)+DAY(EOMONTH(DATE($D$4,$B$4,1),0))-1)</f>
        <v>22</v>
      </c>
      <c r="AI8" s="7">
        <f>COUNTIF(C8:AG8,"P")</f>
        <v>0</v>
      </c>
      <c r="AJ8" s="7">
        <f>AH8-AI8</f>
        <v>22</v>
      </c>
    </row>
    <row r="9" spans="1:36" x14ac:dyDescent="0.3">
      <c r="A9" s="6" t="s">
        <v>13</v>
      </c>
      <c r="B9" s="6" t="s">
        <v>14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>
        <f>NETWORKDAYS(DATE($D$4,$B$4,1),DATE($D$4,$B$4,1)+DAY(EOMONTH(DATE($D$4,$B$4,1),0))-1)</f>
        <v>22</v>
      </c>
      <c r="AI9" s="7">
        <f>COUNTIF(C9:AG9,"P")</f>
        <v>0</v>
      </c>
      <c r="AJ9" s="7">
        <f>AH9-AI9</f>
        <v>22</v>
      </c>
    </row>
  </sheetData>
  <dataValidations count="1">
    <dataValidation type="whole" sqref="B4">
      <formula1>1</formula1>
      <formula2>12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7"/>
  <sheetViews>
    <sheetView zoomScaleNormal="100" workbookViewId="0"/>
  </sheetViews>
  <sheetFormatPr defaultColWidth="8.6640625" defaultRowHeight="14.4" x14ac:dyDescent="0.3"/>
  <cols>
    <col min="1" max="1" width="12" customWidth="1"/>
    <col min="2" max="2" width="18" customWidth="1"/>
    <col min="3" max="3" width="13" customWidth="1"/>
    <col min="4" max="5" width="10" customWidth="1"/>
    <col min="6" max="6" width="13" customWidth="1"/>
    <col min="7" max="7" width="16" customWidth="1"/>
    <col min="8" max="8" width="12" customWidth="1"/>
    <col min="9" max="9" width="16" customWidth="1"/>
    <col min="10" max="10" width="13" customWidth="1"/>
    <col min="11" max="11" width="26" customWidth="1"/>
  </cols>
  <sheetData>
    <row r="1" spans="1:11" ht="21" x14ac:dyDescent="0.4">
      <c r="A1" s="1" t="s">
        <v>15</v>
      </c>
    </row>
    <row r="2" spans="1:11" x14ac:dyDescent="0.3">
      <c r="A2" s="2" t="s">
        <v>16</v>
      </c>
    </row>
    <row r="4" spans="1:11" ht="27.6" x14ac:dyDescent="0.3">
      <c r="A4" s="5" t="s">
        <v>4</v>
      </c>
      <c r="B4" s="5" t="s">
        <v>5</v>
      </c>
      <c r="C4" s="5" t="s">
        <v>17</v>
      </c>
      <c r="D4" s="5" t="s">
        <v>18</v>
      </c>
      <c r="E4" s="5" t="s">
        <v>19</v>
      </c>
      <c r="F4" s="5" t="s">
        <v>20</v>
      </c>
      <c r="G4" s="5" t="s">
        <v>6</v>
      </c>
      <c r="H4" s="5" t="s">
        <v>7</v>
      </c>
      <c r="I4" s="5" t="s">
        <v>21</v>
      </c>
      <c r="J4" s="5" t="s">
        <v>22</v>
      </c>
      <c r="K4" s="5" t="s">
        <v>23</v>
      </c>
    </row>
    <row r="5" spans="1:11" x14ac:dyDescent="0.3">
      <c r="A5" s="4" t="s">
        <v>9</v>
      </c>
      <c r="B5" s="4" t="s">
        <v>10</v>
      </c>
      <c r="C5" s="4">
        <v>30000</v>
      </c>
      <c r="D5" s="4">
        <v>8000</v>
      </c>
      <c r="E5" s="4">
        <v>3000</v>
      </c>
      <c r="F5" s="7">
        <f>C5+D5+E5</f>
        <v>41000</v>
      </c>
      <c r="G5" s="7">
        <f>IFERROR(INDEX(Attendance!$AH$7:$AH$100,MATCH(A5,Attendance!$A$7:$A$100,0)),0)</f>
        <v>22</v>
      </c>
      <c r="H5" s="7">
        <f>IFERROR(INDEX(Attendance!$AI$7:$AI$100,MATCH(A5,Attendance!$A$7:$A$100,0)),0)</f>
        <v>0</v>
      </c>
      <c r="I5" s="7">
        <f>0.12*C5</f>
        <v>3600</v>
      </c>
      <c r="J5" s="7">
        <f>IF(G5=0,0,(F5*(H5/G5))-I5)</f>
        <v>-3600</v>
      </c>
      <c r="K5" s="7" t="s">
        <v>24</v>
      </c>
    </row>
    <row r="6" spans="1:11" x14ac:dyDescent="0.3">
      <c r="A6" s="4" t="s">
        <v>11</v>
      </c>
      <c r="B6" s="4" t="s">
        <v>12</v>
      </c>
      <c r="C6" s="4">
        <v>45000</v>
      </c>
      <c r="D6" s="4">
        <v>12000</v>
      </c>
      <c r="E6" s="4">
        <v>4500</v>
      </c>
      <c r="F6" s="7">
        <f>C6+D6+E6</f>
        <v>61500</v>
      </c>
      <c r="G6" s="7">
        <f>IFERROR(INDEX(Attendance!$AH$7:$AH$100,MATCH(A6,Attendance!$A$7:$A$100,0)),0)</f>
        <v>22</v>
      </c>
      <c r="H6" s="7">
        <f>IFERROR(INDEX(Attendance!$AI$7:$AI$100,MATCH(A6,Attendance!$A$7:$A$100,0)),0)</f>
        <v>0</v>
      </c>
      <c r="I6" s="7">
        <f>0.12*C6</f>
        <v>5400</v>
      </c>
      <c r="J6" s="7">
        <f>IF(G6=0,0,(F6*(H6/G6))-I6)</f>
        <v>-5400</v>
      </c>
      <c r="K6" s="7" t="s">
        <v>24</v>
      </c>
    </row>
    <row r="7" spans="1:11" x14ac:dyDescent="0.3">
      <c r="A7" s="4" t="s">
        <v>13</v>
      </c>
      <c r="B7" s="4" t="s">
        <v>14</v>
      </c>
      <c r="C7" s="4">
        <v>25000</v>
      </c>
      <c r="D7" s="4">
        <v>6000</v>
      </c>
      <c r="E7" s="4">
        <v>2500</v>
      </c>
      <c r="F7" s="7">
        <f>C7+D7+E7</f>
        <v>33500</v>
      </c>
      <c r="G7" s="7">
        <f>IFERROR(INDEX(Attendance!$AH$7:$AH$100,MATCH(A7,Attendance!$A$7:$A$100,0)),0)</f>
        <v>22</v>
      </c>
      <c r="H7" s="7">
        <f>IFERROR(INDEX(Attendance!$AI$7:$AI$100,MATCH(A7,Attendance!$A$7:$A$100,0)),0)</f>
        <v>0</v>
      </c>
      <c r="I7" s="7">
        <f>0.12*C7</f>
        <v>3000</v>
      </c>
      <c r="J7" s="7">
        <f>IF(G7=0,0,(F7*(H7/G7))-I7)</f>
        <v>-3000</v>
      </c>
      <c r="K7" s="7" t="s">
        <v>24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9"/>
  <sheetViews>
    <sheetView showGridLines="0" zoomScaleNormal="100" workbookViewId="0"/>
  </sheetViews>
  <sheetFormatPr defaultColWidth="8.6640625" defaultRowHeight="14.4" x14ac:dyDescent="0.3"/>
  <cols>
    <col min="1" max="1" width="22" customWidth="1"/>
    <col min="2" max="2" width="14" customWidth="1"/>
    <col min="3" max="3" width="4" customWidth="1"/>
    <col min="4" max="4" width="22" customWidth="1"/>
    <col min="5" max="5" width="14" customWidth="1"/>
  </cols>
  <sheetData>
    <row r="1" spans="1:6" ht="22.8" x14ac:dyDescent="0.4">
      <c r="A1" s="10" t="s">
        <v>25</v>
      </c>
      <c r="B1" s="10"/>
      <c r="C1" s="10"/>
      <c r="D1" s="10"/>
      <c r="E1" s="10"/>
      <c r="F1" s="10"/>
    </row>
    <row r="2" spans="1:6" x14ac:dyDescent="0.3">
      <c r="A2" s="11" t="s">
        <v>26</v>
      </c>
      <c r="B2" s="11"/>
      <c r="C2" s="11"/>
      <c r="D2" s="11"/>
      <c r="E2" s="11"/>
      <c r="F2" s="11"/>
    </row>
    <row r="4" spans="1:6" ht="16.8" x14ac:dyDescent="0.3">
      <c r="A4" s="12" t="s">
        <v>27</v>
      </c>
      <c r="B4" s="12"/>
      <c r="C4" s="12"/>
      <c r="D4" s="12"/>
      <c r="E4" s="12"/>
      <c r="F4" s="12"/>
    </row>
    <row r="6" spans="1:6" x14ac:dyDescent="0.3">
      <c r="A6" s="8" t="s">
        <v>28</v>
      </c>
      <c r="D6" s="8" t="s">
        <v>29</v>
      </c>
    </row>
    <row r="7" spans="1:6" x14ac:dyDescent="0.3">
      <c r="A7" s="8" t="s">
        <v>30</v>
      </c>
      <c r="D7" s="8" t="s">
        <v>31</v>
      </c>
    </row>
    <row r="8" spans="1:6" x14ac:dyDescent="0.3">
      <c r="A8" s="8" t="s">
        <v>32</v>
      </c>
      <c r="D8" s="8" t="s">
        <v>33</v>
      </c>
    </row>
    <row r="10" spans="1:6" x14ac:dyDescent="0.3">
      <c r="A10" s="5" t="s">
        <v>34</v>
      </c>
      <c r="B10" s="5" t="s">
        <v>35</v>
      </c>
      <c r="D10" s="5" t="s">
        <v>36</v>
      </c>
      <c r="E10" s="5" t="s">
        <v>35</v>
      </c>
    </row>
    <row r="11" spans="1:6" x14ac:dyDescent="0.3">
      <c r="A11" s="6" t="s">
        <v>17</v>
      </c>
      <c r="B11" s="6"/>
      <c r="D11" s="6" t="s">
        <v>37</v>
      </c>
      <c r="E11" s="6"/>
    </row>
    <row r="12" spans="1:6" x14ac:dyDescent="0.3">
      <c r="A12" s="6" t="s">
        <v>18</v>
      </c>
      <c r="B12" s="6"/>
      <c r="D12" s="6"/>
      <c r="E12" s="6"/>
    </row>
    <row r="13" spans="1:6" x14ac:dyDescent="0.3">
      <c r="A13" s="6" t="s">
        <v>19</v>
      </c>
      <c r="B13" s="6"/>
      <c r="D13" s="6"/>
      <c r="E13" s="6"/>
    </row>
    <row r="14" spans="1:6" x14ac:dyDescent="0.3">
      <c r="A14" s="6" t="s">
        <v>38</v>
      </c>
      <c r="B14" s="6"/>
      <c r="D14" s="6" t="s">
        <v>39</v>
      </c>
      <c r="E14" s="6"/>
    </row>
    <row r="16" spans="1:6" ht="15.6" x14ac:dyDescent="0.3">
      <c r="A16" s="13" t="s">
        <v>40</v>
      </c>
      <c r="B16" s="13"/>
      <c r="C16" s="13"/>
      <c r="D16" s="13"/>
      <c r="E16" s="9"/>
    </row>
    <row r="19" spans="1:1" x14ac:dyDescent="0.3">
      <c r="A19" s="2" t="s">
        <v>41</v>
      </c>
    </row>
  </sheetData>
  <mergeCells count="4">
    <mergeCell ref="A1:F1"/>
    <mergeCell ref="A2:F2"/>
    <mergeCell ref="A4:F4"/>
    <mergeCell ref="A16:D16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Attendance</vt:lpstr>
      <vt:lpstr>Salary</vt:lpstr>
      <vt:lpstr>Salary Slip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Lenovo</cp:lastModifiedBy>
  <cp:revision>0</cp:revision>
  <dcterms:created xsi:type="dcterms:W3CDTF">2026-07-17T07:19:03Z</dcterms:created>
  <dcterms:modified xsi:type="dcterms:W3CDTF">2026-07-17T08:00:01Z</dcterms:modified>
  <dc:language>en-US</dc:language>
</cp:coreProperties>
</file>